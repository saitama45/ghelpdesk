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arold Manlolo\Downloads\"/>
    </mc:Choice>
  </mc:AlternateContent>
  <xr:revisionPtr revIDLastSave="0" documentId="13_ncr:1_{17D3ACB6-6B91-4662-9A16-A4804517571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usiness Requirements" sheetId="1" r:id="rId1"/>
    <sheet name="Developer Logic" sheetId="2" r:id="rId2"/>
    <sheet name="Data Dictionary" sheetId="3" r:id="rId3"/>
    <sheet name="UAT Test Cas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D22" i="1"/>
  <c r="C23" i="1" s="1"/>
  <c r="D23" i="1" s="1"/>
  <c r="C24" i="1" s="1"/>
  <c r="D24" i="1" s="1"/>
  <c r="C25" i="1" s="1"/>
  <c r="D25" i="1" s="1"/>
  <c r="D26" i="1" s="1"/>
</calcChain>
</file>

<file path=xl/sharedStrings.xml><?xml version="1.0" encoding="utf-8"?>
<sst xmlns="http://schemas.openxmlformats.org/spreadsheetml/2006/main" count="135" uniqueCount="114">
  <si>
    <t>Business Requirement Document</t>
  </si>
  <si>
    <t>Objective</t>
  </si>
  <si>
    <t>Correct Milestone Schedule Computation</t>
  </si>
  <si>
    <t>Current Issue</t>
  </si>
  <si>
    <t>System computes Finish = Start + Lead Time instead of Finish = Start + Lead Time - 1, causing an off-by-one error.</t>
  </si>
  <si>
    <t>Business Rules</t>
  </si>
  <si>
    <t>Rule</t>
  </si>
  <si>
    <t>Formula</t>
  </si>
  <si>
    <t>Example</t>
  </si>
  <si>
    <t>Milestone Lead Time</t>
  </si>
  <si>
    <t>sum</t>
  </si>
  <si>
    <t>2+2+4+2 = 10 days</t>
  </si>
  <si>
    <t>Milestone Start</t>
  </si>
  <si>
    <t>Previous Finish + 1</t>
  </si>
  <si>
    <t>10 + 1 = Day 11</t>
  </si>
  <si>
    <t>Milestone Finish</t>
  </si>
  <si>
    <t>Finish = Start + Lead Time - 1</t>
  </si>
  <si>
    <t>1 + 10 - 1 = Day 10</t>
  </si>
  <si>
    <t>Sub-task Start</t>
  </si>
  <si>
    <t>Previous Sub-task Finish + 1</t>
  </si>
  <si>
    <t>2 -&gt; Day 3</t>
  </si>
  <si>
    <t>Sub-task Finish</t>
  </si>
  <si>
    <t>Start + Lead Time - 1</t>
  </si>
  <si>
    <t>3 + 2 - 1 = Day 4</t>
  </si>
  <si>
    <t>Comparison Example</t>
  </si>
  <si>
    <t>Milestone</t>
  </si>
  <si>
    <t>Lead Time</t>
  </si>
  <si>
    <t>Goal</t>
  </si>
  <si>
    <t>Current System</t>
  </si>
  <si>
    <t>Expected Formula</t>
  </si>
  <si>
    <t>Site Identification &amp; Assessment</t>
  </si>
  <si>
    <t>Day 1 - Day 10</t>
  </si>
  <si>
    <t>Day 1 - Day 11</t>
  </si>
  <si>
    <t>1 + 10 - 1 = 10</t>
  </si>
  <si>
    <t>Management Review &amp; Endorsement</t>
  </si>
  <si>
    <t>Day 11 - Day 15</t>
  </si>
  <si>
    <t>Day 12 - Day 19</t>
  </si>
  <si>
    <t>11 + 5 - 1 = 15</t>
  </si>
  <si>
    <t>Site Validation &amp; Commercial Negotiation</t>
  </si>
  <si>
    <t>Day 16 - Day 25</t>
  </si>
  <si>
    <t>Day 20 - Day 30</t>
  </si>
  <si>
    <t>16 + 10 - 1 = 25</t>
  </si>
  <si>
    <t>Worked Scheduling Example</t>
  </si>
  <si>
    <t>Sub-task</t>
  </si>
  <si>
    <t>Start</t>
  </si>
  <si>
    <t>Finish</t>
  </si>
  <si>
    <t>Document Review</t>
  </si>
  <si>
    <t>Start + LT - 1</t>
  </si>
  <si>
    <t>Update Proposal</t>
  </si>
  <si>
    <t>Secure Offer Sheet</t>
  </si>
  <si>
    <t>Additional Activity</t>
  </si>
  <si>
    <t>Milestone Total</t>
  </si>
  <si>
    <t>Acceptance Criteria</t>
  </si>
  <si>
    <t>Scenario</t>
  </si>
  <si>
    <t>Expected Result</t>
  </si>
  <si>
    <t>Start = 1, Lead Time = 10</t>
  </si>
  <si>
    <t>Finish=10</t>
  </si>
  <si>
    <t>Previous Finish = 10</t>
  </si>
  <si>
    <t>Next Start=11</t>
  </si>
  <si>
    <t>Lead Time changed 4-&gt;6</t>
  </si>
  <si>
    <t>Recalculate downstream milestones automatically</t>
  </si>
  <si>
    <t>Step</t>
  </si>
  <si>
    <t>Logic</t>
  </si>
  <si>
    <t>1</t>
  </si>
  <si>
    <t>If Dependency is blank, Start = Day 1</t>
  </si>
  <si>
    <t>2</t>
  </si>
  <si>
    <t>Else If Can Run Parallel = No, Start = Dependency Finish + 1</t>
  </si>
  <si>
    <t>3</t>
  </si>
  <si>
    <t>Else If Can Run Parallel = Yes, Start = Dependency Start</t>
  </si>
  <si>
    <t>4</t>
  </si>
  <si>
    <t>5</t>
  </si>
  <si>
    <t>Parent Milestone Lead Time = Sum of Child Lead Times</t>
  </si>
  <si>
    <t>6</t>
  </si>
  <si>
    <t>Parent Finish = Latest Child Finish</t>
  </si>
  <si>
    <t>7</t>
  </si>
  <si>
    <t>Recalculate all downstream milestones whenever Lead Time, Dependency, or Parallel flag changes</t>
  </si>
  <si>
    <t>Field</t>
  </si>
  <si>
    <t>Type</t>
  </si>
  <si>
    <t>Editable</t>
  </si>
  <si>
    <t>Business Rule</t>
  </si>
  <si>
    <t>Integer</t>
  </si>
  <si>
    <t>Yes</t>
  </si>
  <si>
    <t>Must be &gt;0</t>
  </si>
  <si>
    <t>Start Day</t>
  </si>
  <si>
    <t>No</t>
  </si>
  <si>
    <t>Calculated</t>
  </si>
  <si>
    <t>Finish Day</t>
  </si>
  <si>
    <t>Dependency</t>
  </si>
  <si>
    <t>Lookup</t>
  </si>
  <si>
    <t>Cannot reference itself</t>
  </si>
  <si>
    <t>Can Run Parallel</t>
  </si>
  <si>
    <t>Boolean</t>
  </si>
  <si>
    <t>Yes=Start with dependency, No=Start after dependency finish</t>
  </si>
  <si>
    <t>Sum of child Lead Times</t>
  </si>
  <si>
    <t>Test Case</t>
  </si>
  <si>
    <t>Input</t>
  </si>
  <si>
    <t>TC-001</t>
  </si>
  <si>
    <t>Start=1, LT=10</t>
  </si>
  <si>
    <t>TC-002</t>
  </si>
  <si>
    <t>Previous Finish=10</t>
  </si>
  <si>
    <t>TC-003</t>
  </si>
  <si>
    <t>Parallel=Yes</t>
  </si>
  <si>
    <t>Dependent activity starts same day as dependency</t>
  </si>
  <si>
    <t>TC-004</t>
  </si>
  <si>
    <t>Change LT 4→6</t>
  </si>
  <si>
    <t>All downstream milestones recalculated</t>
  </si>
  <si>
    <t>TC-005</t>
  </si>
  <si>
    <t>Insert new sub-task</t>
  </si>
  <si>
    <t>Parent milestone lead time updates</t>
  </si>
  <si>
    <t>TC-006</t>
  </si>
  <si>
    <t>Delete sub-task</t>
  </si>
  <si>
    <t>Parent finish recalculated</t>
  </si>
  <si>
    <t>Reference</t>
  </si>
  <si>
    <t>Existing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</si>
</sst>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37</xdr:row>
      <xdr:rowOff>0</xdr:rowOff>
    </xdr:from>
    <xdr:to>
      <xdr:col>4</xdr:col>
      <xdr:colOff>671192</xdr:colOff>
      <xdr:row>73</xdr:row>
      <xdr:rowOff>8191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7DC99F-712B-056A-86F1-2AA8D0747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12280"/>
          <a:ext cx="7292972" cy="6591871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37</xdr:row>
      <xdr:rowOff>53340</xdr:rowOff>
    </xdr:from>
    <xdr:to>
      <xdr:col>20</xdr:col>
      <xdr:colOff>736</xdr:colOff>
      <xdr:row>47</xdr:row>
      <xdr:rowOff>53498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6BD4DE-8AB5-5549-390B-7C9119CE0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43900" y="6865620"/>
          <a:ext cx="8497036" cy="18289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workbookViewId="0">
      <selection activeCell="G14" sqref="G14"/>
    </sheetView>
  </sheetViews>
  <sheetFormatPr defaultRowHeight="14.4" x14ac:dyDescent="0.3"/>
  <cols>
    <col min="1" max="1" width="37" bestFit="1" customWidth="1"/>
    <col min="2" max="2" width="29.6640625" customWidth="1"/>
    <col min="3" max="3" width="16.109375" bestFit="1" customWidth="1"/>
    <col min="4" max="4" width="13.77734375" bestFit="1" customWidth="1"/>
    <col min="5" max="5" width="15.6640625" bestFit="1" customWidth="1"/>
  </cols>
  <sheetData>
    <row r="1" spans="1:5" ht="18" customHeight="1" x14ac:dyDescent="0.35">
      <c r="A1" s="1" t="s">
        <v>0</v>
      </c>
      <c r="B1" s="1"/>
      <c r="C1" s="1"/>
      <c r="D1" s="1"/>
      <c r="E1" s="1"/>
    </row>
    <row r="2" spans="1:5" x14ac:dyDescent="0.3">
      <c r="A2" s="5" t="s">
        <v>1</v>
      </c>
      <c r="B2" t="s">
        <v>2</v>
      </c>
    </row>
    <row r="4" spans="1:5" x14ac:dyDescent="0.3">
      <c r="A4" s="5" t="s">
        <v>3</v>
      </c>
      <c r="B4" t="s">
        <v>4</v>
      </c>
    </row>
    <row r="6" spans="1:5" x14ac:dyDescent="0.3">
      <c r="A6" s="2" t="s">
        <v>5</v>
      </c>
      <c r="B6" s="2"/>
      <c r="C6" s="2"/>
      <c r="D6" s="2"/>
      <c r="E6" s="2"/>
    </row>
    <row r="7" spans="1:5" x14ac:dyDescent="0.3">
      <c r="A7" s="5" t="s">
        <v>6</v>
      </c>
      <c r="B7" s="4" t="s">
        <v>7</v>
      </c>
      <c r="C7" s="4" t="s">
        <v>8</v>
      </c>
    </row>
    <row r="8" spans="1:5" x14ac:dyDescent="0.3">
      <c r="A8" t="s">
        <v>9</v>
      </c>
      <c r="B8" s="3" t="s">
        <v>10</v>
      </c>
      <c r="C8" s="3" t="s">
        <v>11</v>
      </c>
    </row>
    <row r="9" spans="1:5" x14ac:dyDescent="0.3">
      <c r="A9" t="s">
        <v>12</v>
      </c>
      <c r="B9" s="3" t="s">
        <v>13</v>
      </c>
      <c r="C9" s="3" t="s">
        <v>14</v>
      </c>
    </row>
    <row r="10" spans="1:5" x14ac:dyDescent="0.3">
      <c r="A10" t="s">
        <v>15</v>
      </c>
      <c r="B10" s="3" t="s">
        <v>16</v>
      </c>
      <c r="C10" s="3" t="s">
        <v>17</v>
      </c>
    </row>
    <row r="11" spans="1:5" x14ac:dyDescent="0.3">
      <c r="A11" t="s">
        <v>18</v>
      </c>
      <c r="B11" s="3" t="s">
        <v>19</v>
      </c>
      <c r="C11" s="3" t="s">
        <v>20</v>
      </c>
    </row>
    <row r="12" spans="1:5" x14ac:dyDescent="0.3">
      <c r="A12" t="s">
        <v>21</v>
      </c>
      <c r="B12" s="3" t="s">
        <v>22</v>
      </c>
      <c r="C12" s="3" t="s">
        <v>23</v>
      </c>
    </row>
    <row r="14" spans="1:5" x14ac:dyDescent="0.3">
      <c r="A14" s="2" t="s">
        <v>24</v>
      </c>
      <c r="B14" s="2"/>
      <c r="C14" s="2"/>
      <c r="D14" s="2"/>
      <c r="E14" s="2"/>
    </row>
    <row r="15" spans="1:5" x14ac:dyDescent="0.3">
      <c r="A15" t="s">
        <v>25</v>
      </c>
      <c r="B15" s="4" t="s">
        <v>26</v>
      </c>
      <c r="C15" s="4" t="s">
        <v>27</v>
      </c>
      <c r="D15" s="6" t="s">
        <v>28</v>
      </c>
      <c r="E15" s="4" t="s">
        <v>29</v>
      </c>
    </row>
    <row r="16" spans="1:5" x14ac:dyDescent="0.3">
      <c r="A16" t="s">
        <v>30</v>
      </c>
      <c r="B16" s="3">
        <v>10</v>
      </c>
      <c r="C16" s="3" t="s">
        <v>31</v>
      </c>
      <c r="D16" s="7" t="s">
        <v>32</v>
      </c>
      <c r="E16" s="3" t="s">
        <v>33</v>
      </c>
    </row>
    <row r="17" spans="1:5" x14ac:dyDescent="0.3">
      <c r="A17" t="s">
        <v>34</v>
      </c>
      <c r="B17" s="3">
        <v>5</v>
      </c>
      <c r="C17" s="3" t="s">
        <v>35</v>
      </c>
      <c r="D17" s="7" t="s">
        <v>36</v>
      </c>
      <c r="E17" s="3" t="s">
        <v>37</v>
      </c>
    </row>
    <row r="18" spans="1:5" x14ac:dyDescent="0.3">
      <c r="A18" t="s">
        <v>38</v>
      </c>
      <c r="B18" s="3">
        <v>10</v>
      </c>
      <c r="C18" s="3" t="s">
        <v>39</v>
      </c>
      <c r="D18" s="7" t="s">
        <v>40</v>
      </c>
      <c r="E18" s="3" t="s">
        <v>41</v>
      </c>
    </row>
    <row r="20" spans="1:5" x14ac:dyDescent="0.3">
      <c r="A20" s="2" t="s">
        <v>42</v>
      </c>
      <c r="B20" s="2"/>
      <c r="C20" s="2"/>
      <c r="D20" s="2"/>
      <c r="E20" s="2"/>
    </row>
    <row r="21" spans="1:5" x14ac:dyDescent="0.3">
      <c r="A21" t="s">
        <v>43</v>
      </c>
      <c r="B21" s="4" t="s">
        <v>26</v>
      </c>
      <c r="C21" s="4" t="s">
        <v>44</v>
      </c>
      <c r="D21" s="4" t="s">
        <v>45</v>
      </c>
      <c r="E21" s="4" t="s">
        <v>7</v>
      </c>
    </row>
    <row r="22" spans="1:5" x14ac:dyDescent="0.3">
      <c r="A22" t="s">
        <v>46</v>
      </c>
      <c r="B22" s="3">
        <v>2</v>
      </c>
      <c r="C22" s="3">
        <v>1</v>
      </c>
      <c r="D22" s="3">
        <f>C22+B22-1</f>
        <v>2</v>
      </c>
      <c r="E22" s="3" t="s">
        <v>47</v>
      </c>
    </row>
    <row r="23" spans="1:5" x14ac:dyDescent="0.3">
      <c r="A23" t="s">
        <v>48</v>
      </c>
      <c r="B23" s="3">
        <v>2</v>
      </c>
      <c r="C23" s="3">
        <f>D22+1</f>
        <v>3</v>
      </c>
      <c r="D23" s="3">
        <f>C23+B23-1</f>
        <v>4</v>
      </c>
      <c r="E23" s="3" t="s">
        <v>47</v>
      </c>
    </row>
    <row r="24" spans="1:5" x14ac:dyDescent="0.3">
      <c r="A24" t="s">
        <v>49</v>
      </c>
      <c r="B24" s="3">
        <v>4</v>
      </c>
      <c r="C24" s="3">
        <f>D23+1</f>
        <v>5</v>
      </c>
      <c r="D24" s="3">
        <f>C24+B24-1</f>
        <v>8</v>
      </c>
      <c r="E24" s="3" t="s">
        <v>47</v>
      </c>
    </row>
    <row r="25" spans="1:5" x14ac:dyDescent="0.3">
      <c r="A25" t="s">
        <v>50</v>
      </c>
      <c r="B25" s="3">
        <v>2</v>
      </c>
      <c r="C25" s="3">
        <f>D24+1</f>
        <v>9</v>
      </c>
      <c r="D25" s="3">
        <f>C25+B25-1</f>
        <v>10</v>
      </c>
      <c r="E25" s="3" t="s">
        <v>47</v>
      </c>
    </row>
    <row r="26" spans="1:5" x14ac:dyDescent="0.3">
      <c r="A26" t="s">
        <v>51</v>
      </c>
      <c r="B26" s="3"/>
      <c r="C26" s="3"/>
      <c r="D26" s="3">
        <f>D25</f>
        <v>10</v>
      </c>
      <c r="E26" s="3"/>
    </row>
    <row r="27" spans="1:5" x14ac:dyDescent="0.3">
      <c r="A27" t="s">
        <v>9</v>
      </c>
      <c r="B27" s="3">
        <f>SUM(B22:B25)</f>
        <v>10</v>
      </c>
      <c r="C27" s="3"/>
      <c r="D27" s="3"/>
      <c r="E27" s="3"/>
    </row>
    <row r="29" spans="1:5" x14ac:dyDescent="0.3">
      <c r="A29" s="2" t="s">
        <v>52</v>
      </c>
      <c r="B29" s="2"/>
      <c r="C29" s="2"/>
      <c r="D29" s="2"/>
      <c r="E29" s="2"/>
    </row>
    <row r="30" spans="1:5" x14ac:dyDescent="0.3">
      <c r="A30" s="8" t="s">
        <v>53</v>
      </c>
      <c r="B30" s="8" t="s">
        <v>54</v>
      </c>
    </row>
    <row r="31" spans="1:5" x14ac:dyDescent="0.3">
      <c r="A31" t="s">
        <v>55</v>
      </c>
      <c r="B31" t="s">
        <v>56</v>
      </c>
    </row>
    <row r="32" spans="1:5" x14ac:dyDescent="0.3">
      <c r="A32" t="s">
        <v>57</v>
      </c>
      <c r="B32" t="s">
        <v>58</v>
      </c>
    </row>
    <row r="33" spans="1:7" x14ac:dyDescent="0.3">
      <c r="A33" t="s">
        <v>59</v>
      </c>
      <c r="B33" t="s">
        <v>60</v>
      </c>
    </row>
    <row r="36" spans="1:7" x14ac:dyDescent="0.3">
      <c r="A36" s="5" t="s">
        <v>112</v>
      </c>
    </row>
    <row r="37" spans="1:7" x14ac:dyDescent="0.3">
      <c r="A37" s="5" t="s">
        <v>113</v>
      </c>
      <c r="G37" s="5" t="s">
        <v>27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E17" sqref="E17"/>
    </sheetView>
  </sheetViews>
  <sheetFormatPr defaultRowHeight="14.4" x14ac:dyDescent="0.3"/>
  <sheetData>
    <row r="1" spans="1:2" x14ac:dyDescent="0.3">
      <c r="A1" s="9">
        <v>6</v>
      </c>
      <c r="B1" s="9"/>
    </row>
    <row r="2" spans="1:2" x14ac:dyDescent="0.3">
      <c r="A2" t="s">
        <v>61</v>
      </c>
      <c r="B2" t="s">
        <v>62</v>
      </c>
    </row>
    <row r="3" spans="1:2" x14ac:dyDescent="0.3">
      <c r="A3" t="s">
        <v>63</v>
      </c>
      <c r="B3" t="s">
        <v>64</v>
      </c>
    </row>
    <row r="4" spans="1:2" x14ac:dyDescent="0.3">
      <c r="A4" t="s">
        <v>65</v>
      </c>
      <c r="B4" t="s">
        <v>66</v>
      </c>
    </row>
    <row r="5" spans="1:2" x14ac:dyDescent="0.3">
      <c r="A5" t="s">
        <v>67</v>
      </c>
      <c r="B5" t="s">
        <v>68</v>
      </c>
    </row>
    <row r="6" spans="1:2" x14ac:dyDescent="0.3">
      <c r="A6" t="s">
        <v>69</v>
      </c>
      <c r="B6" t="s">
        <v>16</v>
      </c>
    </row>
    <row r="7" spans="1:2" x14ac:dyDescent="0.3">
      <c r="A7" t="s">
        <v>70</v>
      </c>
      <c r="B7" t="s">
        <v>71</v>
      </c>
    </row>
    <row r="8" spans="1:2" x14ac:dyDescent="0.3">
      <c r="A8" t="s">
        <v>72</v>
      </c>
      <c r="B8" t="s">
        <v>73</v>
      </c>
    </row>
    <row r="9" spans="1:2" x14ac:dyDescent="0.3">
      <c r="A9" t="s">
        <v>74</v>
      </c>
      <c r="B9" t="s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C9" sqref="C9"/>
    </sheetView>
  </sheetViews>
  <sheetFormatPr defaultRowHeight="14.4" x14ac:dyDescent="0.3"/>
  <cols>
    <col min="1" max="1" width="18.109375" bestFit="1" customWidth="1"/>
    <col min="2" max="2" width="7.77734375" hidden="1" customWidth="1"/>
    <col min="4" max="4" width="51.6640625" bestFit="1" customWidth="1"/>
  </cols>
  <sheetData>
    <row r="1" spans="1:4" x14ac:dyDescent="0.3">
      <c r="A1" s="9" t="s">
        <v>76</v>
      </c>
      <c r="B1" s="9" t="s">
        <v>77</v>
      </c>
      <c r="C1" s="9" t="s">
        <v>78</v>
      </c>
      <c r="D1" s="10" t="s">
        <v>79</v>
      </c>
    </row>
    <row r="2" spans="1:4" x14ac:dyDescent="0.3">
      <c r="A2" t="s">
        <v>26</v>
      </c>
      <c r="B2" t="s">
        <v>80</v>
      </c>
      <c r="C2" t="s">
        <v>81</v>
      </c>
      <c r="D2" t="s">
        <v>82</v>
      </c>
    </row>
    <row r="3" spans="1:4" x14ac:dyDescent="0.3">
      <c r="A3" t="s">
        <v>83</v>
      </c>
      <c r="B3" t="s">
        <v>80</v>
      </c>
      <c r="C3" t="s">
        <v>84</v>
      </c>
      <c r="D3" t="s">
        <v>85</v>
      </c>
    </row>
    <row r="4" spans="1:4" x14ac:dyDescent="0.3">
      <c r="A4" t="s">
        <v>86</v>
      </c>
      <c r="B4" t="s">
        <v>80</v>
      </c>
      <c r="C4" t="s">
        <v>84</v>
      </c>
      <c r="D4" t="s">
        <v>85</v>
      </c>
    </row>
    <row r="5" spans="1:4" x14ac:dyDescent="0.3">
      <c r="A5" t="s">
        <v>87</v>
      </c>
      <c r="B5" t="s">
        <v>88</v>
      </c>
      <c r="C5" t="s">
        <v>81</v>
      </c>
      <c r="D5" t="s">
        <v>89</v>
      </c>
    </row>
    <row r="6" spans="1:4" x14ac:dyDescent="0.3">
      <c r="A6" t="s">
        <v>90</v>
      </c>
      <c r="B6" t="s">
        <v>91</v>
      </c>
      <c r="C6" t="s">
        <v>81</v>
      </c>
      <c r="D6" t="s">
        <v>92</v>
      </c>
    </row>
    <row r="7" spans="1:4" x14ac:dyDescent="0.3">
      <c r="A7" t="s">
        <v>9</v>
      </c>
      <c r="B7" t="s">
        <v>80</v>
      </c>
      <c r="C7" t="s">
        <v>84</v>
      </c>
      <c r="D7" t="s">
        <v>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tabSelected="1" workbookViewId="0"/>
  </sheetViews>
  <sheetFormatPr defaultRowHeight="14.4" x14ac:dyDescent="0.3"/>
  <cols>
    <col min="2" max="2" width="16.88671875" bestFit="1" customWidth="1"/>
    <col min="3" max="3" width="42.6640625" bestFit="1" customWidth="1"/>
  </cols>
  <sheetData>
    <row r="1" spans="1:3" x14ac:dyDescent="0.3">
      <c r="A1" s="9" t="s">
        <v>94</v>
      </c>
      <c r="B1" s="9" t="s">
        <v>95</v>
      </c>
      <c r="C1" s="9" t="s">
        <v>54</v>
      </c>
    </row>
    <row r="2" spans="1:3" x14ac:dyDescent="0.3">
      <c r="A2" t="s">
        <v>96</v>
      </c>
      <c r="B2" t="s">
        <v>97</v>
      </c>
      <c r="C2" t="s">
        <v>56</v>
      </c>
    </row>
    <row r="3" spans="1:3" x14ac:dyDescent="0.3">
      <c r="A3" t="s">
        <v>98</v>
      </c>
      <c r="B3" t="s">
        <v>99</v>
      </c>
      <c r="C3" t="s">
        <v>58</v>
      </c>
    </row>
    <row r="4" spans="1:3" x14ac:dyDescent="0.3">
      <c r="A4" t="s">
        <v>100</v>
      </c>
      <c r="B4" t="s">
        <v>101</v>
      </c>
      <c r="C4" t="s">
        <v>102</v>
      </c>
    </row>
    <row r="5" spans="1:3" x14ac:dyDescent="0.3">
      <c r="A5" t="s">
        <v>103</v>
      </c>
      <c r="B5" t="s">
        <v>104</v>
      </c>
      <c r="C5" t="s">
        <v>105</v>
      </c>
    </row>
    <row r="6" spans="1:3" x14ac:dyDescent="0.3">
      <c r="A6" t="s">
        <v>106</v>
      </c>
      <c r="B6" t="s">
        <v>107</v>
      </c>
      <c r="C6" t="s">
        <v>108</v>
      </c>
    </row>
    <row r="7" spans="1:3" x14ac:dyDescent="0.3">
      <c r="A7" t="s">
        <v>109</v>
      </c>
      <c r="B7" t="s">
        <v>110</v>
      </c>
      <c r="C7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Business Requirements</vt:lpstr>
      <vt:lpstr>Developer Logic</vt:lpstr>
      <vt:lpstr>Data Dictionary</vt:lpstr>
      <vt:lpstr>UAT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Manlolo</cp:lastModifiedBy>
  <dcterms:created xsi:type="dcterms:W3CDTF">2026-07-31T02:06:06Z</dcterms:created>
  <dcterms:modified xsi:type="dcterms:W3CDTF">2026-07-31T02:55:31Z</dcterms:modified>
</cp:coreProperties>
</file>